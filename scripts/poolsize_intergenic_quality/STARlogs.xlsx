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prime-seq_NextGen\scripts\poolsize_intergenic_quality\"/>
    </mc:Choice>
  </mc:AlternateContent>
  <bookViews>
    <workbookView xWindow="0" yWindow="0" windowWidth="38400" windowHeight="17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H21" i="1"/>
  <c r="H20" i="1"/>
  <c r="H19" i="1"/>
  <c r="H18" i="1"/>
  <c r="H17" i="1"/>
  <c r="H23" i="1"/>
  <c r="H24" i="1"/>
  <c r="H25" i="1"/>
  <c r="H26" i="1"/>
  <c r="H22" i="1"/>
  <c r="H31" i="1"/>
  <c r="H30" i="1"/>
  <c r="H29" i="1"/>
  <c r="H28" i="1"/>
  <c r="H27" i="1"/>
  <c r="H33" i="1"/>
  <c r="H34" i="1"/>
  <c r="I34" i="1" s="1"/>
  <c r="H35" i="1"/>
  <c r="I35" i="1" s="1"/>
  <c r="H36" i="1"/>
  <c r="H32" i="1"/>
  <c r="I33" i="1" s="1"/>
  <c r="I36" i="1" l="1"/>
  <c r="I30" i="1"/>
  <c r="I29" i="1"/>
  <c r="I28" i="1"/>
  <c r="I31" i="1"/>
  <c r="I20" i="1"/>
  <c r="I21" i="1"/>
  <c r="I18" i="1"/>
  <c r="I26" i="1"/>
  <c r="I25" i="1"/>
  <c r="I24" i="1"/>
  <c r="I23" i="1"/>
  <c r="I19" i="1"/>
  <c r="I10" i="1"/>
  <c r="I9" i="1"/>
  <c r="I5" i="1" l="1"/>
  <c r="I11" i="1"/>
  <c r="I3" i="1"/>
  <c r="I6" i="1"/>
  <c r="I13" i="1"/>
  <c r="I14" i="1"/>
  <c r="I4" i="1"/>
  <c r="I8" i="1"/>
  <c r="I15" i="1"/>
  <c r="I16" i="1"/>
</calcChain>
</file>

<file path=xl/sharedStrings.xml><?xml version="1.0" encoding="utf-8"?>
<sst xmlns="http://schemas.openxmlformats.org/spreadsheetml/2006/main" count="102" uniqueCount="23">
  <si>
    <t>all</t>
  </si>
  <si>
    <t>unqiue</t>
  </si>
  <si>
    <t>multi</t>
  </si>
  <si>
    <t>short</t>
  </si>
  <si>
    <t>other</t>
  </si>
  <si>
    <t>920_1_1</t>
  </si>
  <si>
    <t>920_1_4</t>
  </si>
  <si>
    <t>920_4_4</t>
  </si>
  <si>
    <t>type</t>
  </si>
  <si>
    <t>chunk1</t>
  </si>
  <si>
    <t>chunk2</t>
  </si>
  <si>
    <t>chunk3</t>
  </si>
  <si>
    <t>chunk4</t>
  </si>
  <si>
    <t>chunk5</t>
  </si>
  <si>
    <t>chunk6</t>
  </si>
  <si>
    <t>fraction</t>
  </si>
  <si>
    <t>dataset</t>
  </si>
  <si>
    <t>poolsize1</t>
  </si>
  <si>
    <t>poolsize2</t>
  </si>
  <si>
    <t>poolsize</t>
  </si>
  <si>
    <t>project</t>
  </si>
  <si>
    <t>80_1_1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</si>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</sst>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1" applyNumberFormat="1" applyFont="1"/>
    <xf numFmtId="0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abSelected="1" workbookViewId="0">
      <selection activeCell="J17" sqref="J17:J22"/>
    </sheetView>
  </sheetViews>
  <sheetFormatPr defaultRowHeight="15" x14ac:dyDescent="0.25"/>
  <cols>
    <col min="9" max="9" width="9.140625" style="1"/>
  </cols>
  <sheetData>
    <row r="1" spans="1:12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22</v>
      </c>
      <c r="I1" s="1" t="s">
        <v>15</v>
      </c>
      <c r="J1" s="1" t="s">
        <v>16</v>
      </c>
      <c r="K1" s="1" t="s">
        <v>19</v>
      </c>
      <c r="L1" s="1" t="s">
        <v>20</v>
      </c>
    </row>
    <row r="2" spans="1:12" x14ac:dyDescent="0.25">
      <c r="A2" t="s">
        <v>0</v>
      </c>
      <c r="B2">
        <v>512653</v>
      </c>
      <c r="C2">
        <v>512899</v>
      </c>
      <c r="D2">
        <v>266954</v>
      </c>
      <c r="E2">
        <v>0</v>
      </c>
      <c r="F2">
        <v>0</v>
      </c>
      <c r="G2">
        <v>0</v>
      </c>
      <c r="H2">
        <f>SUM(B2:G2)</f>
        <v>1292506</v>
      </c>
      <c r="I2" s="1">
        <v>1</v>
      </c>
      <c r="J2" t="s">
        <v>17</v>
      </c>
      <c r="K2">
        <v>80</v>
      </c>
      <c r="L2">
        <v>80</v>
      </c>
    </row>
    <row r="3" spans="1:12" x14ac:dyDescent="0.25">
      <c r="A3" t="s">
        <v>1</v>
      </c>
      <c r="B3">
        <v>447019</v>
      </c>
      <c r="C3">
        <v>443158</v>
      </c>
      <c r="D3">
        <v>232393</v>
      </c>
      <c r="E3">
        <v>0</v>
      </c>
      <c r="F3">
        <v>0</v>
      </c>
      <c r="G3">
        <v>0</v>
      </c>
      <c r="H3">
        <f t="shared" ref="H3:H16" si="0">SUM(B3:G3)</f>
        <v>1122570</v>
      </c>
      <c r="I3" s="1">
        <f>H3/$H$2</f>
        <v>0.86852208036171596</v>
      </c>
      <c r="J3" t="s">
        <v>17</v>
      </c>
      <c r="K3">
        <v>80</v>
      </c>
      <c r="L3">
        <v>80</v>
      </c>
    </row>
    <row r="4" spans="1:12" x14ac:dyDescent="0.25">
      <c r="A4" t="s">
        <v>2</v>
      </c>
      <c r="B4">
        <v>49746</v>
      </c>
      <c r="C4">
        <v>48994</v>
      </c>
      <c r="D4">
        <v>25611</v>
      </c>
      <c r="E4">
        <v>0</v>
      </c>
      <c r="F4">
        <v>0</v>
      </c>
      <c r="G4">
        <v>0</v>
      </c>
      <c r="H4">
        <f t="shared" si="0"/>
        <v>124351</v>
      </c>
      <c r="I4" s="1">
        <f>H4/$H$2</f>
        <v>9.6209224560659681E-2</v>
      </c>
      <c r="J4" t="s">
        <v>17</v>
      </c>
      <c r="K4">
        <v>80</v>
      </c>
      <c r="L4">
        <v>80</v>
      </c>
    </row>
    <row r="5" spans="1:12" x14ac:dyDescent="0.25">
      <c r="A5" t="s">
        <v>3</v>
      </c>
      <c r="B5">
        <v>13096</v>
      </c>
      <c r="C5">
        <v>18083</v>
      </c>
      <c r="D5">
        <v>7488</v>
      </c>
      <c r="E5">
        <v>0</v>
      </c>
      <c r="F5">
        <v>0</v>
      </c>
      <c r="G5">
        <v>0</v>
      </c>
      <c r="H5">
        <f t="shared" si="0"/>
        <v>38667</v>
      </c>
      <c r="I5" s="2">
        <f>H5/$H$2</f>
        <v>2.9916302129351816E-2</v>
      </c>
      <c r="J5" t="s">
        <v>17</v>
      </c>
      <c r="K5">
        <v>80</v>
      </c>
      <c r="L5">
        <v>80</v>
      </c>
    </row>
    <row r="6" spans="1:12" x14ac:dyDescent="0.25">
      <c r="A6" t="s">
        <v>4</v>
      </c>
      <c r="B6">
        <v>2782</v>
      </c>
      <c r="C6">
        <v>2652</v>
      </c>
      <c r="D6">
        <v>1456</v>
      </c>
      <c r="E6">
        <v>0</v>
      </c>
      <c r="F6">
        <v>0</v>
      </c>
      <c r="G6">
        <v>0</v>
      </c>
      <c r="H6">
        <f t="shared" si="0"/>
        <v>6890</v>
      </c>
      <c r="I6" s="2">
        <f>H6/$H$2</f>
        <v>5.3307296058973811E-3</v>
      </c>
      <c r="J6" t="s">
        <v>17</v>
      </c>
      <c r="K6">
        <v>80</v>
      </c>
      <c r="L6">
        <v>80</v>
      </c>
    </row>
    <row r="7" spans="1:12" x14ac:dyDescent="0.25">
      <c r="A7" t="s">
        <v>0</v>
      </c>
      <c r="B7">
        <v>512714</v>
      </c>
      <c r="C7">
        <v>512856</v>
      </c>
      <c r="D7">
        <v>267711</v>
      </c>
      <c r="E7">
        <v>0</v>
      </c>
      <c r="F7">
        <v>0</v>
      </c>
      <c r="G7">
        <v>0</v>
      </c>
      <c r="H7">
        <f t="shared" si="0"/>
        <v>1293281</v>
      </c>
      <c r="I7" s="1">
        <v>1</v>
      </c>
      <c r="J7" t="s">
        <v>17</v>
      </c>
      <c r="K7">
        <v>320</v>
      </c>
      <c r="L7">
        <v>320</v>
      </c>
    </row>
    <row r="8" spans="1:12" x14ac:dyDescent="0.25">
      <c r="A8" t="s">
        <v>1</v>
      </c>
      <c r="B8">
        <v>439720</v>
      </c>
      <c r="C8">
        <v>439228</v>
      </c>
      <c r="D8">
        <v>227573</v>
      </c>
      <c r="E8">
        <v>0</v>
      </c>
      <c r="F8">
        <v>0</v>
      </c>
      <c r="G8">
        <v>0</v>
      </c>
      <c r="H8">
        <f t="shared" si="0"/>
        <v>1106521</v>
      </c>
      <c r="I8" s="1">
        <f>H8/$H$7</f>
        <v>0.85559209483476517</v>
      </c>
      <c r="J8" t="s">
        <v>17</v>
      </c>
      <c r="K8">
        <v>320</v>
      </c>
      <c r="L8">
        <v>320</v>
      </c>
    </row>
    <row r="9" spans="1:12" x14ac:dyDescent="0.25">
      <c r="A9" t="s">
        <v>2</v>
      </c>
      <c r="B9">
        <v>51811</v>
      </c>
      <c r="C9">
        <v>52916</v>
      </c>
      <c r="D9">
        <v>27013</v>
      </c>
      <c r="E9">
        <v>0</v>
      </c>
      <c r="F9">
        <v>0</v>
      </c>
      <c r="G9">
        <v>0</v>
      </c>
      <c r="H9">
        <f t="shared" si="0"/>
        <v>131740</v>
      </c>
      <c r="I9" s="1">
        <f>H9/$H$7</f>
        <v>0.10186494659706591</v>
      </c>
      <c r="J9" t="s">
        <v>17</v>
      </c>
      <c r="K9">
        <v>320</v>
      </c>
      <c r="L9">
        <v>320</v>
      </c>
    </row>
    <row r="10" spans="1:12" x14ac:dyDescent="0.25">
      <c r="A10" t="s">
        <v>3</v>
      </c>
      <c r="B10">
        <v>18366</v>
      </c>
      <c r="C10">
        <v>17837</v>
      </c>
      <c r="D10">
        <v>11704</v>
      </c>
      <c r="E10">
        <v>0</v>
      </c>
      <c r="F10">
        <v>0</v>
      </c>
      <c r="G10">
        <v>0</v>
      </c>
      <c r="H10">
        <f t="shared" si="0"/>
        <v>47907</v>
      </c>
      <c r="I10" s="2">
        <f>H10/$H$7</f>
        <v>3.7042993750004832E-2</v>
      </c>
      <c r="J10" t="s">
        <v>17</v>
      </c>
      <c r="K10">
        <v>320</v>
      </c>
      <c r="L10">
        <v>320</v>
      </c>
    </row>
    <row r="11" spans="1:12" x14ac:dyDescent="0.25">
      <c r="A11" t="s">
        <v>4</v>
      </c>
      <c r="B11">
        <v>2806</v>
      </c>
      <c r="C11">
        <v>2863</v>
      </c>
      <c r="D11">
        <v>1413</v>
      </c>
      <c r="E11">
        <v>0</v>
      </c>
      <c r="F11">
        <v>0</v>
      </c>
      <c r="G11">
        <v>0</v>
      </c>
      <c r="H11">
        <f t="shared" si="0"/>
        <v>7082</v>
      </c>
      <c r="I11" s="2">
        <f>H11/$H$7</f>
        <v>5.4759947760772794E-3</v>
      </c>
      <c r="J11" t="s">
        <v>17</v>
      </c>
      <c r="K11">
        <v>320</v>
      </c>
      <c r="L11">
        <v>320</v>
      </c>
    </row>
    <row r="12" spans="1:12" x14ac:dyDescent="0.25">
      <c r="A12" t="s">
        <v>0</v>
      </c>
      <c r="B12">
        <v>514917</v>
      </c>
      <c r="C12">
        <v>514787</v>
      </c>
      <c r="D12">
        <v>260172</v>
      </c>
      <c r="E12">
        <v>0</v>
      </c>
      <c r="F12">
        <v>0</v>
      </c>
      <c r="G12">
        <v>0</v>
      </c>
      <c r="H12">
        <f t="shared" si="0"/>
        <v>1289876</v>
      </c>
      <c r="I12" s="1">
        <v>1</v>
      </c>
      <c r="J12" t="s">
        <v>17</v>
      </c>
      <c r="K12">
        <v>920</v>
      </c>
      <c r="L12">
        <v>920</v>
      </c>
    </row>
    <row r="13" spans="1:12" x14ac:dyDescent="0.25">
      <c r="A13" t="s">
        <v>1</v>
      </c>
      <c r="B13">
        <v>428748</v>
      </c>
      <c r="C13">
        <v>427099</v>
      </c>
      <c r="D13">
        <v>216372</v>
      </c>
      <c r="E13">
        <v>0</v>
      </c>
      <c r="F13">
        <v>0</v>
      </c>
      <c r="G13">
        <v>0</v>
      </c>
      <c r="H13">
        <f t="shared" si="0"/>
        <v>1072219</v>
      </c>
      <c r="I13" s="1">
        <f>H13/$H$12</f>
        <v>0.83125742319416751</v>
      </c>
      <c r="J13" t="s">
        <v>17</v>
      </c>
      <c r="K13">
        <v>920</v>
      </c>
      <c r="L13">
        <v>920</v>
      </c>
    </row>
    <row r="14" spans="1:12" x14ac:dyDescent="0.25">
      <c r="A14" t="s">
        <v>2</v>
      </c>
      <c r="B14">
        <v>54152</v>
      </c>
      <c r="C14">
        <v>54593</v>
      </c>
      <c r="D14">
        <v>27560</v>
      </c>
      <c r="E14">
        <v>0</v>
      </c>
      <c r="F14">
        <v>0</v>
      </c>
      <c r="G14">
        <v>0</v>
      </c>
      <c r="H14">
        <f t="shared" si="0"/>
        <v>136305</v>
      </c>
      <c r="I14" s="1">
        <f>H14/$H$12</f>
        <v>0.10567294840744382</v>
      </c>
      <c r="J14" t="s">
        <v>17</v>
      </c>
      <c r="K14">
        <v>920</v>
      </c>
      <c r="L14">
        <v>920</v>
      </c>
    </row>
    <row r="15" spans="1:12" x14ac:dyDescent="0.25">
      <c r="A15" t="s">
        <v>3</v>
      </c>
      <c r="B15">
        <v>29339</v>
      </c>
      <c r="C15">
        <v>30516</v>
      </c>
      <c r="D15">
        <v>14861</v>
      </c>
      <c r="E15">
        <v>0</v>
      </c>
      <c r="F15">
        <v>0</v>
      </c>
      <c r="G15">
        <v>0</v>
      </c>
      <c r="H15">
        <f t="shared" si="0"/>
        <v>74716</v>
      </c>
      <c r="I15" s="2">
        <f>H15/$H$12</f>
        <v>5.792494782444204E-2</v>
      </c>
      <c r="J15" t="s">
        <v>17</v>
      </c>
      <c r="K15">
        <v>920</v>
      </c>
      <c r="L15">
        <v>920</v>
      </c>
    </row>
    <row r="16" spans="1:12" x14ac:dyDescent="0.25">
      <c r="A16" t="s">
        <v>4</v>
      </c>
      <c r="B16">
        <v>2661</v>
      </c>
      <c r="C16">
        <v>2553</v>
      </c>
      <c r="D16">
        <v>1368</v>
      </c>
      <c r="E16">
        <v>0</v>
      </c>
      <c r="F16">
        <v>0</v>
      </c>
      <c r="G16">
        <v>0</v>
      </c>
      <c r="H16">
        <f t="shared" si="0"/>
        <v>6582</v>
      </c>
      <c r="I16" s="2">
        <f>H16/$H$12</f>
        <v>5.1028160846468959E-3</v>
      </c>
      <c r="J16" t="s">
        <v>17</v>
      </c>
      <c r="K16">
        <v>920</v>
      </c>
      <c r="L16">
        <v>920</v>
      </c>
    </row>
    <row r="17" spans="1:12" x14ac:dyDescent="0.25">
      <c r="A17" t="s">
        <v>0</v>
      </c>
      <c r="B17">
        <v>1709206</v>
      </c>
      <c r="C17">
        <v>1709373</v>
      </c>
      <c r="D17">
        <v>1709648</v>
      </c>
      <c r="E17">
        <v>1709248</v>
      </c>
      <c r="F17">
        <v>1708594</v>
      </c>
      <c r="G17">
        <v>126761</v>
      </c>
      <c r="H17">
        <f>SUM(B17:G17)</f>
        <v>8672830</v>
      </c>
      <c r="I17" s="1">
        <v>1</v>
      </c>
      <c r="J17" t="s">
        <v>18</v>
      </c>
      <c r="K17">
        <v>80</v>
      </c>
      <c r="L17" t="s">
        <v>21</v>
      </c>
    </row>
    <row r="18" spans="1:12" x14ac:dyDescent="0.25">
      <c r="A18" t="s">
        <v>1</v>
      </c>
      <c r="B18">
        <v>1463980</v>
      </c>
      <c r="C18">
        <v>1463721</v>
      </c>
      <c r="D18">
        <v>1465677</v>
      </c>
      <c r="E18">
        <v>1466136</v>
      </c>
      <c r="F18">
        <v>1463826</v>
      </c>
      <c r="G18">
        <v>108790</v>
      </c>
      <c r="H18">
        <f t="shared" ref="H18:H21" si="1">SUM(B18:G18)</f>
        <v>7432130</v>
      </c>
      <c r="I18" s="1">
        <f>H18/$H$17</f>
        <v>0.85694404248670852</v>
      </c>
      <c r="J18" t="s">
        <v>18</v>
      </c>
      <c r="K18">
        <v>80</v>
      </c>
      <c r="L18" t="s">
        <v>21</v>
      </c>
    </row>
    <row r="19" spans="1:12" x14ac:dyDescent="0.25">
      <c r="A19" t="s">
        <v>2</v>
      </c>
      <c r="B19">
        <v>205995</v>
      </c>
      <c r="C19">
        <v>206644</v>
      </c>
      <c r="D19">
        <v>205614</v>
      </c>
      <c r="E19">
        <v>204823</v>
      </c>
      <c r="F19">
        <v>206063</v>
      </c>
      <c r="G19">
        <v>15008</v>
      </c>
      <c r="H19">
        <f t="shared" si="1"/>
        <v>1044147</v>
      </c>
      <c r="I19" s="1">
        <f>H19/$H$17</f>
        <v>0.12039288213881744</v>
      </c>
      <c r="J19" t="s">
        <v>18</v>
      </c>
      <c r="K19">
        <v>80</v>
      </c>
      <c r="L19" t="s">
        <v>21</v>
      </c>
    </row>
    <row r="20" spans="1:12" x14ac:dyDescent="0.25">
      <c r="A20" t="s">
        <v>3</v>
      </c>
      <c r="B20">
        <v>36315</v>
      </c>
      <c r="C20">
        <v>36001</v>
      </c>
      <c r="D20">
        <v>35311</v>
      </c>
      <c r="E20">
        <v>35191</v>
      </c>
      <c r="F20">
        <v>35613</v>
      </c>
      <c r="G20">
        <v>2702</v>
      </c>
      <c r="H20">
        <f t="shared" si="1"/>
        <v>181133</v>
      </c>
      <c r="I20" s="2">
        <f>H20/$H$17</f>
        <v>2.0885109012859702E-2</v>
      </c>
      <c r="J20" t="s">
        <v>18</v>
      </c>
      <c r="K20">
        <v>80</v>
      </c>
      <c r="L20" t="s">
        <v>21</v>
      </c>
    </row>
    <row r="21" spans="1:12" x14ac:dyDescent="0.25">
      <c r="A21" t="s">
        <v>4</v>
      </c>
      <c r="B21">
        <v>2903</v>
      </c>
      <c r="C21">
        <v>2989</v>
      </c>
      <c r="D21">
        <v>3033</v>
      </c>
      <c r="E21">
        <v>3085</v>
      </c>
      <c r="F21">
        <v>3074</v>
      </c>
      <c r="G21">
        <v>261</v>
      </c>
      <c r="H21">
        <f t="shared" si="1"/>
        <v>15345</v>
      </c>
      <c r="I21" s="2">
        <f>H21/$H$17</f>
        <v>1.769318665303021E-3</v>
      </c>
      <c r="J21" t="s">
        <v>18</v>
      </c>
      <c r="K21">
        <v>80</v>
      </c>
      <c r="L21" t="s">
        <v>21</v>
      </c>
    </row>
    <row r="22" spans="1:12" x14ac:dyDescent="0.25">
      <c r="A22" t="s">
        <v>0</v>
      </c>
      <c r="B22">
        <v>3775271</v>
      </c>
      <c r="C22">
        <v>3775631</v>
      </c>
      <c r="D22">
        <v>3774989</v>
      </c>
      <c r="E22">
        <v>3771905</v>
      </c>
      <c r="F22">
        <v>3772392</v>
      </c>
      <c r="G22">
        <v>146127</v>
      </c>
      <c r="H22">
        <f>SUM(B22:G22)</f>
        <v>19016315</v>
      </c>
      <c r="I22" s="1">
        <v>1</v>
      </c>
      <c r="J22" t="s">
        <v>18</v>
      </c>
      <c r="K22">
        <v>920</v>
      </c>
      <c r="L22" t="s">
        <v>5</v>
      </c>
    </row>
    <row r="23" spans="1:12" x14ac:dyDescent="0.25">
      <c r="A23" t="s">
        <v>1</v>
      </c>
      <c r="B23">
        <v>3045545</v>
      </c>
      <c r="C23">
        <v>3043911</v>
      </c>
      <c r="D23">
        <v>3045451</v>
      </c>
      <c r="E23">
        <v>3037287</v>
      </c>
      <c r="F23">
        <v>3039406</v>
      </c>
      <c r="G23">
        <v>117703</v>
      </c>
      <c r="H23">
        <f t="shared" ref="H23:H26" si="2">SUM(B23:G23)</f>
        <v>15329303</v>
      </c>
      <c r="I23" s="1">
        <f>H23/$H$22</f>
        <v>0.80611322435498145</v>
      </c>
      <c r="J23" t="s">
        <v>18</v>
      </c>
      <c r="K23">
        <v>920</v>
      </c>
      <c r="L23" t="s">
        <v>5</v>
      </c>
    </row>
    <row r="24" spans="1:12" x14ac:dyDescent="0.25">
      <c r="A24" t="s">
        <v>2</v>
      </c>
      <c r="B24">
        <v>580000</v>
      </c>
      <c r="C24">
        <v>577904</v>
      </c>
      <c r="D24">
        <v>580942</v>
      </c>
      <c r="E24">
        <v>581895</v>
      </c>
      <c r="F24">
        <v>579709</v>
      </c>
      <c r="G24">
        <v>22438</v>
      </c>
      <c r="H24">
        <f t="shared" si="2"/>
        <v>2922888</v>
      </c>
      <c r="I24" s="1">
        <f>H24/$H$22</f>
        <v>0.15370422713338519</v>
      </c>
      <c r="J24" t="s">
        <v>18</v>
      </c>
      <c r="K24">
        <v>920</v>
      </c>
      <c r="L24" t="s">
        <v>5</v>
      </c>
    </row>
    <row r="25" spans="1:12" x14ac:dyDescent="0.25">
      <c r="A25" t="s">
        <v>3</v>
      </c>
      <c r="B25">
        <v>137469</v>
      </c>
      <c r="C25">
        <v>141300</v>
      </c>
      <c r="D25">
        <v>135837</v>
      </c>
      <c r="E25">
        <v>140298</v>
      </c>
      <c r="F25">
        <v>140125</v>
      </c>
      <c r="G25">
        <v>5500</v>
      </c>
      <c r="H25">
        <f t="shared" si="2"/>
        <v>700529</v>
      </c>
      <c r="I25" s="2">
        <f>H25/$H$22</f>
        <v>3.6838314889083401E-2</v>
      </c>
      <c r="J25" t="s">
        <v>18</v>
      </c>
      <c r="K25">
        <v>920</v>
      </c>
      <c r="L25" t="s">
        <v>5</v>
      </c>
    </row>
    <row r="26" spans="1:12" x14ac:dyDescent="0.25">
      <c r="A26" t="s">
        <v>4</v>
      </c>
      <c r="B26">
        <v>12163</v>
      </c>
      <c r="C26">
        <v>12437</v>
      </c>
      <c r="D26">
        <v>12676</v>
      </c>
      <c r="E26">
        <v>12352</v>
      </c>
      <c r="F26">
        <v>13066</v>
      </c>
      <c r="G26">
        <v>483</v>
      </c>
      <c r="H26">
        <f t="shared" si="2"/>
        <v>63177</v>
      </c>
      <c r="I26" s="2">
        <f>H26/$H$22</f>
        <v>3.3222524973950001E-3</v>
      </c>
      <c r="J26" t="s">
        <v>18</v>
      </c>
      <c r="K26">
        <v>920</v>
      </c>
      <c r="L26" t="s">
        <v>5</v>
      </c>
    </row>
    <row r="27" spans="1:12" x14ac:dyDescent="0.25">
      <c r="A27" t="s">
        <v>0</v>
      </c>
      <c r="B27">
        <v>3624045</v>
      </c>
      <c r="C27">
        <v>3624518</v>
      </c>
      <c r="D27">
        <v>3623846</v>
      </c>
      <c r="E27">
        <v>3621545</v>
      </c>
      <c r="F27">
        <v>3621574</v>
      </c>
      <c r="G27">
        <v>155454</v>
      </c>
      <c r="H27">
        <f>SUM(B27:G27)</f>
        <v>18270982</v>
      </c>
      <c r="I27" s="1">
        <v>1</v>
      </c>
      <c r="J27" t="s">
        <v>18</v>
      </c>
      <c r="K27">
        <v>920</v>
      </c>
      <c r="L27" t="s">
        <v>6</v>
      </c>
    </row>
    <row r="28" spans="1:12" x14ac:dyDescent="0.25">
      <c r="A28" t="s">
        <v>1</v>
      </c>
      <c r="B28">
        <v>2903075</v>
      </c>
      <c r="C28">
        <v>2898056</v>
      </c>
      <c r="D28">
        <v>2898807</v>
      </c>
      <c r="E28">
        <v>2896689</v>
      </c>
      <c r="F28">
        <v>2894783</v>
      </c>
      <c r="G28">
        <v>124422</v>
      </c>
      <c r="H28">
        <f t="shared" ref="H28:H31" si="3">SUM(B28:G28)</f>
        <v>14615832</v>
      </c>
      <c r="I28" s="1">
        <f>H28/$H$27</f>
        <v>0.79994780795033349</v>
      </c>
      <c r="J28" t="s">
        <v>18</v>
      </c>
      <c r="K28">
        <v>920</v>
      </c>
      <c r="L28" t="s">
        <v>6</v>
      </c>
    </row>
    <row r="29" spans="1:12" x14ac:dyDescent="0.25">
      <c r="A29" t="s">
        <v>2</v>
      </c>
      <c r="B29">
        <v>572078</v>
      </c>
      <c r="C29">
        <v>573628</v>
      </c>
      <c r="D29">
        <v>572353</v>
      </c>
      <c r="E29">
        <v>573581</v>
      </c>
      <c r="F29">
        <v>573738</v>
      </c>
      <c r="G29">
        <v>24531</v>
      </c>
      <c r="H29">
        <f t="shared" si="3"/>
        <v>2889909</v>
      </c>
      <c r="I29" s="1">
        <f>H29/$H$27</f>
        <v>0.15816933101898956</v>
      </c>
      <c r="J29" t="s">
        <v>18</v>
      </c>
      <c r="K29">
        <v>920</v>
      </c>
      <c r="L29" t="s">
        <v>6</v>
      </c>
    </row>
    <row r="30" spans="1:12" x14ac:dyDescent="0.25">
      <c r="A30" t="s">
        <v>3</v>
      </c>
      <c r="B30">
        <v>135446</v>
      </c>
      <c r="C30">
        <v>139436</v>
      </c>
      <c r="D30">
        <v>138492</v>
      </c>
      <c r="E30">
        <v>137371</v>
      </c>
      <c r="F30">
        <v>139010</v>
      </c>
      <c r="G30">
        <v>5899</v>
      </c>
      <c r="H30">
        <f t="shared" si="3"/>
        <v>695654</v>
      </c>
      <c r="I30" s="1">
        <f>H30/$H$27</f>
        <v>3.8074253480190612E-2</v>
      </c>
      <c r="J30" t="s">
        <v>18</v>
      </c>
      <c r="K30">
        <v>920</v>
      </c>
      <c r="L30" t="s">
        <v>6</v>
      </c>
    </row>
    <row r="31" spans="1:12" x14ac:dyDescent="0.25">
      <c r="A31" t="s">
        <v>4</v>
      </c>
      <c r="B31">
        <v>13355</v>
      </c>
      <c r="C31">
        <v>13340</v>
      </c>
      <c r="D31">
        <v>14107</v>
      </c>
      <c r="E31">
        <v>13837</v>
      </c>
      <c r="F31">
        <v>13925</v>
      </c>
      <c r="G31">
        <v>599</v>
      </c>
      <c r="H31">
        <f t="shared" si="3"/>
        <v>69163</v>
      </c>
      <c r="I31" s="1">
        <f>H31/$H$27</f>
        <v>3.7854013539064292E-3</v>
      </c>
      <c r="J31" t="s">
        <v>18</v>
      </c>
      <c r="K31">
        <v>920</v>
      </c>
      <c r="L31" t="s">
        <v>6</v>
      </c>
    </row>
    <row r="32" spans="1:12" x14ac:dyDescent="0.25">
      <c r="A32" t="s">
        <v>0</v>
      </c>
      <c r="B32">
        <v>3400969</v>
      </c>
      <c r="C32">
        <v>3401133</v>
      </c>
      <c r="D32">
        <v>3400845</v>
      </c>
      <c r="E32">
        <v>3398888</v>
      </c>
      <c r="F32">
        <v>3398787</v>
      </c>
      <c r="G32">
        <v>160707</v>
      </c>
      <c r="H32">
        <f>SUM(B32:G32)</f>
        <v>17161329</v>
      </c>
      <c r="I32" s="1">
        <v>1</v>
      </c>
      <c r="J32" t="s">
        <v>18</v>
      </c>
      <c r="K32">
        <v>920</v>
      </c>
      <c r="L32" t="s">
        <v>7</v>
      </c>
    </row>
    <row r="33" spans="1:12" x14ac:dyDescent="0.25">
      <c r="A33" t="s">
        <v>1</v>
      </c>
      <c r="B33">
        <v>2732243</v>
      </c>
      <c r="C33">
        <v>2737009</v>
      </c>
      <c r="D33">
        <v>2733718</v>
      </c>
      <c r="E33">
        <v>2729194</v>
      </c>
      <c r="F33">
        <v>2733583</v>
      </c>
      <c r="G33">
        <v>129283</v>
      </c>
      <c r="H33">
        <f t="shared" ref="H33:H36" si="4">SUM(B33:G33)</f>
        <v>13795030</v>
      </c>
      <c r="I33" s="1">
        <f>H33/$H$32</f>
        <v>0.80384392141191396</v>
      </c>
      <c r="J33" t="s">
        <v>18</v>
      </c>
      <c r="K33">
        <v>920</v>
      </c>
      <c r="L33" t="s">
        <v>7</v>
      </c>
    </row>
    <row r="34" spans="1:12" x14ac:dyDescent="0.25">
      <c r="A34" t="s">
        <v>2</v>
      </c>
      <c r="B34">
        <v>534588</v>
      </c>
      <c r="C34">
        <v>530778</v>
      </c>
      <c r="D34">
        <v>534537</v>
      </c>
      <c r="E34">
        <v>536807</v>
      </c>
      <c r="F34">
        <v>530971</v>
      </c>
      <c r="G34">
        <v>25062</v>
      </c>
      <c r="H34">
        <f t="shared" si="4"/>
        <v>2692743</v>
      </c>
      <c r="I34" s="1">
        <f>H34/$H$32</f>
        <v>0.15690760313493204</v>
      </c>
      <c r="J34" t="s">
        <v>18</v>
      </c>
      <c r="K34">
        <v>920</v>
      </c>
      <c r="L34" t="s">
        <v>7</v>
      </c>
    </row>
    <row r="35" spans="1:12" x14ac:dyDescent="0.25">
      <c r="A35" t="s">
        <v>3</v>
      </c>
      <c r="B35">
        <v>121743</v>
      </c>
      <c r="C35">
        <v>121054</v>
      </c>
      <c r="D35">
        <v>119443</v>
      </c>
      <c r="E35">
        <v>119922</v>
      </c>
      <c r="F35">
        <v>121060</v>
      </c>
      <c r="G35">
        <v>5751</v>
      </c>
      <c r="H35">
        <f t="shared" si="4"/>
        <v>608973</v>
      </c>
      <c r="I35" s="1">
        <f>H35/$H$32</f>
        <v>3.5485188821914669E-2</v>
      </c>
      <c r="J35" t="s">
        <v>18</v>
      </c>
      <c r="K35">
        <v>920</v>
      </c>
      <c r="L35" t="s">
        <v>7</v>
      </c>
    </row>
    <row r="36" spans="1:12" x14ac:dyDescent="0.25">
      <c r="A36" t="s">
        <v>4</v>
      </c>
      <c r="B36">
        <v>12338</v>
      </c>
      <c r="C36">
        <v>12213</v>
      </c>
      <c r="D36">
        <v>13078</v>
      </c>
      <c r="E36">
        <v>12881</v>
      </c>
      <c r="F36">
        <v>13107</v>
      </c>
      <c r="G36">
        <v>603</v>
      </c>
      <c r="H36">
        <f t="shared" si="4"/>
        <v>64220</v>
      </c>
      <c r="I36" s="1">
        <f>H36/$H$32</f>
        <v>3.7421344232722305E-3</v>
      </c>
      <c r="J36" t="s">
        <v>18</v>
      </c>
      <c r="K36">
        <v>920</v>
      </c>
      <c r="L36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2026-01-13T12:30:14Z</dcterms:created>
  <dcterms:modified xsi:type="dcterms:W3CDTF">2026-01-23T15:40:13Z</dcterms:modified>
</cp:coreProperties>
</file>